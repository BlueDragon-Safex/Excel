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sigs" ContentType="application/vnd.openxmlformats-package.digital-signature-origin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digital-signature/origin" Target="_xmlsignatures/origin.sig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afexApp\"/>
    </mc:Choice>
  </mc:AlternateContent>
  <xr:revisionPtr revIDLastSave="0" documentId="13_ncr:1_{F119B43C-92A1-4D5D-BEC1-76C846261E67}" xr6:coauthVersionLast="47" xr6:coauthVersionMax="47" xr10:uidLastSave="{00000000-0000-0000-0000-000000000000}"/>
  <bookViews>
    <workbookView xWindow="11820" yWindow="780" windowWidth="15105" windowHeight="12855" xr2:uid="{DE7B7BDE-5682-4902-998F-14F298026025}"/>
  </bookViews>
  <sheets>
    <sheet name="Status" sheetId="1" r:id="rId1"/>
    <sheet name="Pegs" sheetId="2" r:id="rId2"/>
    <sheet name="Offer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C9" i="1"/>
  <c r="D9" i="1" s="1"/>
  <c r="B18" i="1"/>
  <c r="B19" i="1" s="1"/>
  <c r="B20" i="1" s="1"/>
  <c r="C13" i="1"/>
  <c r="C21" i="1" s="1"/>
  <c r="C3" i="1"/>
  <c r="D4" i="1" s="1"/>
  <c r="C17" i="1" l="1"/>
  <c r="C18" i="1"/>
  <c r="C20" i="1"/>
  <c r="C19" i="1"/>
  <c r="C24" i="1"/>
  <c r="C22" i="1"/>
  <c r="C23" i="1"/>
</calcChain>
</file>

<file path=xl/sharedStrings.xml><?xml version="1.0" encoding="utf-8"?>
<sst xmlns="http://schemas.openxmlformats.org/spreadsheetml/2006/main" count="21" uniqueCount="14">
  <si>
    <t>Height</t>
  </si>
  <si>
    <t>Now</t>
  </si>
  <si>
    <t>Tokens Staked</t>
  </si>
  <si>
    <t>My Staked Tokens</t>
  </si>
  <si>
    <t>Blocks until next Rev Cycle</t>
  </si>
  <si>
    <t>Rev Share Sample</t>
  </si>
  <si>
    <t>SFX</t>
  </si>
  <si>
    <t>I would earn an estimated:</t>
  </si>
  <si>
    <t>My Percentage of Stake Pool</t>
  </si>
  <si>
    <t>Last Updated (Time ago)</t>
  </si>
  <si>
    <t>Next update</t>
  </si>
  <si>
    <t>Update every N minutes</t>
  </si>
  <si>
    <t>UPDATE TIMES</t>
  </si>
  <si>
    <t xml:space="preserve">Volume per Staking Cycle: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</si>
</sst>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7" formatCode="0.0000"/>
    <numFmt numFmtId="170" formatCode="_(* #,##0_);_(* \(#,##0\);_(* &quot;-&quot;??_);_(@_)"/>
    <numFmt numFmtId="175" formatCode="0.000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170" fontId="5" fillId="0" borderId="0" xfId="0" applyNumberFormat="1" applyFont="1"/>
    <xf numFmtId="0" fontId="0" fillId="0" borderId="2" xfId="0" applyBorder="1"/>
    <xf numFmtId="0" fontId="0" fillId="0" borderId="3" xfId="0" applyBorder="1"/>
    <xf numFmtId="22" fontId="3" fillId="0" borderId="0" xfId="0" applyNumberFormat="1" applyFont="1" applyBorder="1" applyAlignment="1">
      <alignment wrapText="1"/>
    </xf>
    <xf numFmtId="0" fontId="0" fillId="0" borderId="5" xfId="0" applyBorder="1"/>
    <xf numFmtId="22" fontId="4" fillId="0" borderId="0" xfId="0" applyNumberFormat="1" applyFont="1" applyBorder="1" applyAlignment="1">
      <alignment wrapText="1"/>
    </xf>
    <xf numFmtId="0" fontId="3" fillId="0" borderId="5" xfId="0" applyFont="1" applyBorder="1" applyAlignment="1">
      <alignment horizontal="left"/>
    </xf>
    <xf numFmtId="0" fontId="0" fillId="0" borderId="8" xfId="0" applyBorder="1"/>
    <xf numFmtId="0" fontId="2" fillId="0" borderId="1" xfId="0" applyFont="1" applyBorder="1"/>
    <xf numFmtId="0" fontId="2" fillId="0" borderId="4" xfId="0" applyFont="1" applyBorder="1"/>
    <xf numFmtId="0" fontId="2" fillId="0" borderId="6" xfId="0" applyFont="1" applyBorder="1"/>
    <xf numFmtId="0" fontId="6" fillId="2" borderId="7" xfId="0" applyFont="1" applyFill="1" applyBorder="1"/>
    <xf numFmtId="0" fontId="6" fillId="0" borderId="1" xfId="0" applyFont="1" applyBorder="1"/>
    <xf numFmtId="170" fontId="4" fillId="0" borderId="2" xfId="1" applyNumberFormat="1" applyFont="1" applyBorder="1" applyAlignment="1">
      <alignment wrapText="1"/>
    </xf>
    <xf numFmtId="170" fontId="0" fillId="0" borderId="3" xfId="0" applyNumberFormat="1" applyBorder="1"/>
    <xf numFmtId="170" fontId="5" fillId="0" borderId="7" xfId="0" applyNumberFormat="1" applyFont="1" applyBorder="1"/>
    <xf numFmtId="0" fontId="7" fillId="0" borderId="8" xfId="0" applyFont="1" applyBorder="1"/>
    <xf numFmtId="0" fontId="6" fillId="0" borderId="4" xfId="0" applyFont="1" applyBorder="1"/>
    <xf numFmtId="170" fontId="6" fillId="2" borderId="0" xfId="1" applyNumberFormat="1" applyFont="1" applyFill="1" applyBorder="1"/>
    <xf numFmtId="175" fontId="5" fillId="0" borderId="7" xfId="2" applyNumberFormat="1" applyFont="1" applyBorder="1"/>
    <xf numFmtId="0" fontId="2" fillId="0" borderId="0" xfId="0" applyFont="1" applyBorder="1"/>
    <xf numFmtId="175" fontId="5" fillId="0" borderId="0" xfId="2" applyNumberFormat="1" applyFont="1" applyBorder="1"/>
    <xf numFmtId="0" fontId="0" fillId="0" borderId="0" xfId="0" applyBorder="1"/>
    <xf numFmtId="0" fontId="2" fillId="0" borderId="2" xfId="0" applyFont="1" applyBorder="1"/>
    <xf numFmtId="170" fontId="5" fillId="0" borderId="4" xfId="1" applyNumberFormat="1" applyFont="1" applyBorder="1"/>
    <xf numFmtId="0" fontId="2" fillId="0" borderId="5" xfId="0" applyFont="1" applyBorder="1"/>
    <xf numFmtId="170" fontId="6" fillId="2" borderId="4" xfId="1" applyNumberFormat="1" applyFont="1" applyFill="1" applyBorder="1"/>
    <xf numFmtId="170" fontId="6" fillId="2" borderId="6" xfId="1" applyNumberFormat="1" applyFont="1" applyFill="1" applyBorder="1"/>
    <xf numFmtId="0" fontId="2" fillId="0" borderId="8" xfId="0" applyFont="1" applyBorder="1"/>
    <xf numFmtId="167" fontId="5" fillId="0" borderId="0" xfId="0" applyNumberFormat="1" applyFont="1" applyBorder="1"/>
    <xf numFmtId="167" fontId="5" fillId="0" borderId="7" xfId="0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AE7DB-311F-451D-A23D-FB244B6DD0D1}">
  <sheetPr codeName="Sheet1"/>
  <dimension ref="B1:D24"/>
  <sheetViews>
    <sheetView tabSelected="1" workbookViewId="0">
      <selection activeCell="D7" sqref="D7"/>
    </sheetView>
  </sheetViews>
  <sheetFormatPr defaultRowHeight="15.75" x14ac:dyDescent="0.25"/>
  <cols>
    <col min="2" max="2" width="28" style="1" bestFit="1" customWidth="1"/>
    <col min="3" max="3" width="29.7109375" customWidth="1"/>
    <col min="4" max="4" width="30.140625" customWidth="1"/>
  </cols>
  <sheetData>
    <row r="1" spans="2:4" ht="16.5" thickBot="1" x14ac:dyDescent="0.3"/>
    <row r="2" spans="2:4" x14ac:dyDescent="0.25">
      <c r="B2" s="14" t="s">
        <v>12</v>
      </c>
      <c r="C2" s="3"/>
      <c r="D2" s="4"/>
    </row>
    <row r="3" spans="2:4" x14ac:dyDescent="0.25">
      <c r="B3" s="11" t="s">
        <v>1</v>
      </c>
      <c r="C3" s="5">
        <f ca="1">NOW()</f>
        <v>44544.551311805553</v>
      </c>
      <c r="D3" s="6"/>
    </row>
    <row r="4" spans="2:4" x14ac:dyDescent="0.25">
      <c r="B4" s="11" t="s">
        <v>9</v>
      </c>
      <c r="C4" s="7">
        <v>44544.551307870373</v>
      </c>
      <c r="D4" s="8" t="str">
        <f ca="1">INT(C3-C4)&amp;" days "&amp;TEXT(C3-C4,"h"" hrs ""m"" mins """)</f>
        <v xml:space="preserve">0 days 0 hrs 0 mins </v>
      </c>
    </row>
    <row r="5" spans="2:4" x14ac:dyDescent="0.25">
      <c r="B5" s="11" t="s">
        <v>10</v>
      </c>
      <c r="C5" s="7">
        <v>44544.634641203702</v>
      </c>
      <c r="D5" s="8" t="str">
        <f>INT(C5-C4)&amp;" days "&amp;TEXT(C5-C4,"h"" hrs ""m"" mins """)</f>
        <v xml:space="preserve">0 days 2 hrs 0 mins </v>
      </c>
    </row>
    <row r="6" spans="2:4" ht="16.5" thickBot="1" x14ac:dyDescent="0.3">
      <c r="B6" s="12" t="s">
        <v>11</v>
      </c>
      <c r="C6" s="13">
        <v>120</v>
      </c>
      <c r="D6" s="9"/>
    </row>
    <row r="7" spans="2:4" ht="16.5" thickBot="1" x14ac:dyDescent="0.3">
      <c r="C7" s="1"/>
    </row>
    <row r="8" spans="2:4" x14ac:dyDescent="0.25">
      <c r="B8" s="10" t="s">
        <v>0</v>
      </c>
      <c r="C8" s="15">
        <v>841737</v>
      </c>
      <c r="D8" s="16"/>
    </row>
    <row r="9" spans="2:4" ht="16.5" thickBot="1" x14ac:dyDescent="0.3">
      <c r="B9" s="12" t="s">
        <v>4</v>
      </c>
      <c r="C9" s="17">
        <f>IF(MOD(C8,1000)=0, 1000,ROUNDUP(C8,-3)- C8)</f>
        <v>263</v>
      </c>
      <c r="D9" s="18" t="str">
        <f>REPT("▲",C9/100)&amp;REPT("|",MOD(C9,100))</f>
        <v>▲▲|||||||||||||||||||||||||||||||||||||||||||||||||||||||||||||||</v>
      </c>
    </row>
    <row r="10" spans="2:4" ht="16.5" thickBot="1" x14ac:dyDescent="0.3">
      <c r="C10" s="2"/>
    </row>
    <row r="11" spans="2:4" x14ac:dyDescent="0.25">
      <c r="B11" s="10" t="s">
        <v>2</v>
      </c>
      <c r="C11" s="15">
        <v>815581731</v>
      </c>
      <c r="D11" s="4"/>
    </row>
    <row r="12" spans="2:4" x14ac:dyDescent="0.25">
      <c r="B12" s="19" t="s">
        <v>3</v>
      </c>
      <c r="C12" s="20">
        <v>1000000</v>
      </c>
      <c r="D12" s="6"/>
    </row>
    <row r="13" spans="2:4" ht="16.5" thickBot="1" x14ac:dyDescent="0.3">
      <c r="B13" s="12" t="s">
        <v>8</v>
      </c>
      <c r="C13" s="21">
        <f>C12/C11</f>
        <v>1.2261186855839466E-3</v>
      </c>
      <c r="D13" s="9"/>
    </row>
    <row r="14" spans="2:4" ht="16.5" thickBot="1" x14ac:dyDescent="0.3">
      <c r="B14" s="22"/>
      <c r="C14" s="23"/>
      <c r="D14" s="24"/>
    </row>
    <row r="15" spans="2:4" x14ac:dyDescent="0.25">
      <c r="B15" s="14" t="s">
        <v>5</v>
      </c>
      <c r="C15" s="25"/>
      <c r="D15" s="4"/>
    </row>
    <row r="16" spans="2:4" x14ac:dyDescent="0.25">
      <c r="B16" s="11" t="s">
        <v>13</v>
      </c>
      <c r="C16" s="22" t="s">
        <v>7</v>
      </c>
      <c r="D16" s="6"/>
    </row>
    <row r="17" spans="2:4" x14ac:dyDescent="0.25">
      <c r="B17" s="26">
        <v>1000000</v>
      </c>
      <c r="C17" s="31">
        <f>B17*0.05*$C$13</f>
        <v>61.305934279197331</v>
      </c>
      <c r="D17" s="27" t="s">
        <v>6</v>
      </c>
    </row>
    <row r="18" spans="2:4" x14ac:dyDescent="0.25">
      <c r="B18" s="26">
        <f>B17/10</f>
        <v>100000</v>
      </c>
      <c r="C18" s="31">
        <f>B18*0.05*$C$13</f>
        <v>6.1305934279197327</v>
      </c>
      <c r="D18" s="27" t="s">
        <v>6</v>
      </c>
    </row>
    <row r="19" spans="2:4" x14ac:dyDescent="0.25">
      <c r="B19" s="26">
        <f>B18/10</f>
        <v>10000</v>
      </c>
      <c r="C19" s="31">
        <f>B19*0.05*$C$13</f>
        <v>0.61305934279197327</v>
      </c>
      <c r="D19" s="27" t="s">
        <v>6</v>
      </c>
    </row>
    <row r="20" spans="2:4" x14ac:dyDescent="0.25">
      <c r="B20" s="26">
        <f>B19/10</f>
        <v>1000</v>
      </c>
      <c r="C20" s="31">
        <f>B20*0.05*$C$13</f>
        <v>6.1305934279197331E-2</v>
      </c>
      <c r="D20" s="27" t="s">
        <v>6</v>
      </c>
    </row>
    <row r="21" spans="2:4" x14ac:dyDescent="0.25">
      <c r="B21" s="28">
        <v>5000</v>
      </c>
      <c r="C21" s="31">
        <f t="shared" ref="C21:C24" si="0">B21*0.05*$C$13</f>
        <v>0.30652967139598664</v>
      </c>
      <c r="D21" s="27" t="s">
        <v>6</v>
      </c>
    </row>
    <row r="22" spans="2:4" x14ac:dyDescent="0.25">
      <c r="B22" s="28">
        <v>7500</v>
      </c>
      <c r="C22" s="31">
        <f t="shared" si="0"/>
        <v>0.45979450709397995</v>
      </c>
      <c r="D22" s="27" t="s">
        <v>6</v>
      </c>
    </row>
    <row r="23" spans="2:4" x14ac:dyDescent="0.25">
      <c r="B23" s="28">
        <v>25000</v>
      </c>
      <c r="C23" s="31">
        <f t="shared" si="0"/>
        <v>1.5326483569799332</v>
      </c>
      <c r="D23" s="27" t="s">
        <v>6</v>
      </c>
    </row>
    <row r="24" spans="2:4" ht="16.5" thickBot="1" x14ac:dyDescent="0.3">
      <c r="B24" s="29">
        <v>50000</v>
      </c>
      <c r="C24" s="32">
        <f t="shared" si="0"/>
        <v>3.0652967139598664</v>
      </c>
      <c r="D24" s="30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5AAB-2ED1-4C9A-8A93-899DD81F8964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C96B9-4691-4044-90E7-F046C8EBBB6D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1.xml"/></Relationships>
</file>

<file path=_xmlsignatures/sig1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1/04/xmldsig-more#rsa-sha256"/>
    <Reference Type="http://www.w3.org/2000/09/xmldsig#Object" URI="#idPackageObject">
      <DigestMethod Algorithm="http://www.w3.org/2001/04/xmlenc#sha256"/>
      <DigestValue>0OZt7FCYQVNON1ARc5VN1ltn0KtijEjxeMEMx1nlV4I=</DigestValue>
    </Reference>
    <Reference Type="http://www.w3.org/2000/09/xmldsig#Object" URI="#idOfficeObject">
      <DigestMethod Algorithm="http://www.w3.org/2001/04/xmlenc#sha256"/>
      <DigestValue>Syci9kzHi5xmyf1ZJGiC7/1cS3WtGkroQSWn9F0VMBE=</DigestValue>
    </Reference>
    <Reference Type="http://uri.etsi.org/01903#SignedProperties" URI="#idSignedProperties">
      <Transforms>
        <Transform Algorithm="http://www.w3.org/TR/2001/REC-xml-c14n-20010315"/>
      </Transforms>
      <DigestMethod Algorithm="http://www.w3.org/2001/04/xmlenc#sha256"/>
      <DigestValue>Rd9VaYUSCGrV8weCr+FVpx/3IvAU9k0Bu5ox1+qD/pE=</DigestValue>
    </Reference>
  </SignedInfo>
  <SignatureValue>QDeN0ykdGIm1FwN4ooM2fxA5Gep1s7Nrax2wS2KsJB4GFYHXv02/lLfaMaaw+Tg6P0CXbWxMmtIS
bKrK9e5ZjryDilD5g1MHqkrggs4/HkrLdy+Q8thld/7TzCJdzvh4CI4k8Iyws67tWj+SznYwzR8h
0reXq05swwlqeOgsz2D8JPYNkYjDQQuZnsXCplecsQDTGQov0+74O5nOqZuadC56+/GLA6/6O7mX
1k5x5eFz/SpgTnjnY28IjPsSGisLt9OzHclYDjOUCBQXi/2q/x6guHQSWIlryXuIm/kp6Qor0kYY
yurtG3WGYzDi3V0UWWvGCa5t8HYfnYTxBKyP4Q==</SignatureValue>
  <KeyInfo>
    <X509Data>
      <X509Certificate>MIID8jCCAtqgAwIBAgIQTHSagf2afb9JbeFZFnOQyzANBgkqhkiG9w0BAQsFADB4MXYwEQYKCZImiZPyLGQBGRYDbmV0MBUGCgmSJomT8ixkARkWB3dpbmRvd3MwHQYDVQQDExZNUy1Pcmdhbml6YXRpb24tQWNjZXNzMCsGA1UECxMkODJkYmFjYTQtM2U4MS00NmNhLTljNzMtMDk1MGMxZWFjYTk3MB4XDTIxMDIxMzIxNDgyMVoXDTMxMDIxMzIyMTgyMVowLzEtMCsGA1UEAxMkMTU3OThlM2QtNmExNi00YWU0LTkyZDQtNGQ5MTYxN2M3NzRhMIIBIjANBgkqhkiG9w0BAQEFAAOCAQ8AMIIBCgKCAQEAtkCvNDVVO5XEor+U9oxRimhY9cUQtwTE+X2eAvMB3FZdskT9JxKBbm+8ohmST3km4x2EDa8COLdP2u3bNqlhoE/22yrSNN0tZWwF7QpcHHFKjzjh/CvRjeQl6nja1QoRiYAlRpaicJIOFWjfsQsC0fDgfO+78Pqgf2JoI8qmpcH3PnsGs1vB1W6692w3z8iAMjUyH2BLRE/TcLG0tDQRR7mctTg14JtoFNb4VNVFHjjogK1twj6i1Vtx9UwAalUBwgTRZ3MBC7x5GKGKwT+1IVyFcL0l5QnM4Tt6Jhsy8YCCcnyXnkBu4sbB/dLLoSnmV883l9VEw+TKXJ3g8SyUAQIDAQABo4HAMIG9MAwGA1UdEwEB/wQCMAAwFgYDVR0lAQH/BAwwCgYIKwYBBQUHAwIwIgYLKoZIhvcUAQWCHAIEEwSBED2OeRUWauRKktRNkWF8d0owIgYLKoZIhvcUAQWCHAMEEwSBEIXXJuEZDW5AqcOkFAR0Ry8wIgYLKoZIhvcUAQWCHAUEEwSBEKtTRIM7GhJMtS/9oIp/kbkwFAYLKoZIhvcUAQWCHAgEBQSBAk5BMBMGCyqGSIb3FAEFghwHBAQEgQEwMA0GCSqGSIb3DQEBCwUAA4IBAQCAvJ9nP5Or+QyxCP9sDbWuA8sBM52mmP93TgFzBdSG/4mxL7mZNukFGNeVCalWah0QaWwkF4w0xPOTfSRx8FkprRf1RFabr9wTSvMY7qAXlg26KvKkeEWihIQuDttiFFGXJWJbw/Pn/Al9vttdqn1wl+UxYYAZpnPf3K9YFHc1xYyiYkANI2P0NtdZv1okQ+UKnaHUBU/x38j/0FlGHscnO/Ii9UxfeV54VvELh7FPntg6Dhdw2FZC6Z7bJIzBziIPi5tSqx4H5Ku2oMksrPSCmo+KszzXF79zbUenN1H6yRnK/kv3b7VGNobEEbrrY1+lV8Z0dhg6OkKAA4SoBwUQ</X509Certificate>
    </X509Data>
  </KeyInfo>
  <Object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2f3AFpmV4xMG5w1iTrxxA0J9QIy47+YsQamqbXmHTzc=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4"/>
            <mdssi:RelationshipReference xmlns:mdssi="http://schemas.openxmlformats.org/package/2006/digital-signature" SourceId="rId8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6"/>
            <mdssi:RelationshipReference xmlns:mdssi="http://schemas.openxmlformats.org/package/2006/digital-signature" SourceId="rId5"/>
          </Transform>
          <Transform Algorithm="http://www.w3.org/TR/2001/REC-xml-c14n-20010315"/>
        </Transforms>
        <DigestMethod Algorithm="http://www.w3.org/2001/04/xmlenc#sha256"/>
        <DigestValue>m91KlJBZg5jLZPupAjBPMp9XLvZBNM2R9r1kMOYCZ44=</DigestValue>
      </Reference>
      <Reference URI="/xl/calcChain.xml?ContentType=application/vnd.openxmlformats-officedocument.spreadsheetml.calcChain+xml">
        <DigestMethod Algorithm="http://www.w3.org/2001/04/xmlenc#sha256"/>
        <DigestValue>xrn0O1Tu6ga7/VSn1eC/62qSIE9bUkd3RwD4nZo2m7g=</DigestValue>
      </Reference>
      <Reference URI="/xl/printerSettings/printerSettings1.bin?ContentType=application/vnd.openxmlformats-officedocument.spreadsheetml.printerSettings">
        <DigestMethod Algorithm="http://www.w3.org/2001/04/xmlenc#sha256"/>
        <DigestValue>8393Npl+hfH07VlkGd9Iuvjp04jpCXiH8rPhJqG/shg=</DigestValue>
      </Reference>
      <Reference URI="/xl/sharedStrings.xml?ContentType=application/vnd.openxmlformats-officedocument.spreadsheetml.sharedStrings+xml">
        <DigestMethod Algorithm="http://www.w3.org/2001/04/xmlenc#sha256"/>
        <DigestValue>VnxY37tuDBlk2sW7dsqm9JN9lIzE4hcTY/hNw4AcR+A=</DigestValue>
      </Reference>
      <Reference URI="/xl/styles.xml?ContentType=application/vnd.openxmlformats-officedocument.spreadsheetml.styles+xml">
        <DigestMethod Algorithm="http://www.w3.org/2001/04/xmlenc#sha256"/>
        <DigestValue>UzLzTwuW/brKeblClRjzlrlkk5qWQjscRblCQ8lZfc0=</DigestValue>
      </Reference>
      <Reference URI="/xl/theme/theme1.xml?ContentType=application/vnd.openxmlformats-officedocument.theme+xml">
        <DigestMethod Algorithm="http://www.w3.org/2001/04/xmlenc#sha256"/>
        <DigestValue>sWEG9CKfbs5tdEJrPnP/amd98pCNKgb3bvAyn6J8AoI=</DigestValue>
      </Reference>
      <Reference URI="/xl/vbaProject.bin?ContentType=application/vnd.ms-office.vbaProject">
        <DigestMethod Algorithm="http://www.w3.org/2001/04/xmlenc#sha256"/>
        <DigestValue>q8V0h5zwIP0oGuxOlyMz4WJT3RgdJoXLKBX7cjr1gVQ=</DigestValue>
      </Reference>
      <Reference URI="/xl/workbook.xml?ContentType=application/vnd.ms-excel.sheet.macroEnabled.main+xml">
        <DigestMethod Algorithm="http://www.w3.org/2001/04/xmlenc#sha256"/>
        <DigestValue>2ZEh/w1B9XLYBYu0bgim+4+DK89ZyZRM7wD+DvGpAOM=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DFvVPqoIk86WVQiP0UyA3uzCQioz46PDY/dKih+lBrk=</DigestValue>
      </Reference>
      <Reference URI="/xl/worksheets/sheet1.xml?ContentType=application/vnd.openxmlformats-officedocument.spreadsheetml.worksheet+xml">
        <DigestMethod Algorithm="http://www.w3.org/2001/04/xmlenc#sha256"/>
        <DigestValue>fS1cCTSF/BbpBEM9xs48iWOTIpQdvZNPfePnadtYB0I=</DigestValue>
      </Reference>
      <Reference URI="/xl/worksheets/sheet2.xml?ContentType=application/vnd.openxmlformats-officedocument.spreadsheetml.worksheet+xml">
        <DigestMethod Algorithm="http://www.w3.org/2001/04/xmlenc#sha256"/>
        <DigestValue>oSF15I1Frv/mc2T3zqkwfxdKHuaTTOkW6RtfRK8jKaY=</DigestValue>
      </Reference>
      <Reference URI="/xl/worksheets/sheet3.xml?ContentType=application/vnd.openxmlformats-officedocument.spreadsheetml.worksheet+xml">
        <DigestMethod Algorithm="http://www.w3.org/2001/04/xmlenc#sha256"/>
        <DigestValue>OxC5WsSFNp1ffCoBDlKMVn8+NWnrEPrk5eczEu/B0nM=</DigestValue>
      </Reference>
    </Manifest>
    <SignatureProperties>
      <SignatureProperty Id="idSignatureTime" Target="#idPackageSignature">
        <mdssi:SignatureTime xmlns:mdssi="http://schemas.openxmlformats.org/package/2006/digital-signature">
          <mdssi:Format>YYYY-MM-DDThh:mm:ssTZD</mdssi:Format>
          <mdssi:Value>2021-12-14T21:35:09Z</mdssi:Value>
        </mdssi:SignatureTime>
      </SignatureProperty>
    </SignatureProperties>
  </Object>
  <Object Id="idOfficeObject">
    <SignatureProperties>
      <SignatureProperty Id="idOfficeV1Details" Target="#idPackageSignature">
        <SignatureInfoV1 xmlns="http://schemas.microsoft.com/office/2006/digsig">
          <SetupID/>
          <SignatureText/>
          <SignatureImage/>
          <SignatureComments>Sharing</SignatureComments>
          <WindowsVersion>10.0</WindowsVersion>
          <OfficeVersion>16.0.14527/23</OfficeVersion>
          <ApplicationVersion>16.0.14527</ApplicationVersion>
          <Monitors>1</Monitors>
          <HorizontalResolution>1920</HorizontalResolution>
          <VerticalResolution>1080</VerticalResolution>
          <ColorDepth>32</ColorDepth>
          <SignatureProviderId>{00000000-0000-0000-0000-000000000000}</SignatureProviderId>
          <SignatureProviderUrl/>
          <SignatureProviderDetails>9</SignatureProviderDetails>
          <SignatureType>1</SignatureType>
        </SignatureInfoV1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2021-12-14T21:35:09Z</xd:SigningTime>
          <xd:SigningCertificate>
            <xd:Cert>
              <xd:CertDigest>
                <DigestMethod Algorithm="http://www.w3.org/2001/04/xmlenc#sha256"/>
                <DigestValue>ilIHebuNPFnDseg3C2hpjF9TFDY5LnDxYpffRbxK0eA=</DigestValue>
              </xd:CertDigest>
              <xd:IssuerSerial>
                <X509IssuerName>DC=net + DC=windows + CN=MS-Organization-Access + OU=82dbaca4-3e81-46ca-9c73-0950c1eaca97</X509IssuerName>
                <X509SerialNumber>101626767905242048928394276573788999883</X509SerialNumber>
              </xd:IssuerSerial>
            </xd:Cert>
          </xd:SigningCertificate>
          <xd:SignaturePolicyIdentifier>
            <xd:SignaturePolicyImplied/>
          </xd:SignaturePolicyIdentifier>
        </xd:SignedSignatureProperties>
        <xd:SignedDataObjectProperties>
          <xd:CommitmentTypeIndication>
            <xd:CommitmentTypeId>
              <xd:Identifier>http://uri.etsi.org/01903/v1.2.2#ProofOfOrigin</xd:Identifier>
              <xd:Description>Created and approved this document</xd:Description>
            </xd:CommitmentTypeId>
            <xd:AllSignedDataObjects/>
            <xd:CommitmentTypeQualifiers>
              <xd:CommitmentTypeQualifier>Sharing</xd:CommitmentTypeQualifier>
            </xd:CommitmentTypeQualifiers>
          </xd:CommitmentTypeIndication>
        </xd:SignedDataObjectProperties>
      </xd:SignedProperties>
    </xd:QualifyingProperties>
  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Status</vt:lpstr>
      <vt:lpstr>Pegs</vt:lpstr>
      <vt:lpstr>Offers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2021-12-10T19:26:59Z</dcterms:created>
  <dcterms:modified xsi:type="dcterms:W3CDTF">2021-12-14T21:33:26Z</dcterms:modified>
</cp:coreProperties>
</file>